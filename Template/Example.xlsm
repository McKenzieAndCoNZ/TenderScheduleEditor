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cott.ferguson\source\repos\PaymentsScheduleTemplateCreator\PaymentsScheduleTemplateCreator\Template\"/>
    </mc:Choice>
  </mc:AlternateContent>
  <xr:revisionPtr revIDLastSave="0" documentId="8_{781F0067-2D47-4CA5-80F8-C9425F2A9ADE}" xr6:coauthVersionLast="46" xr6:coauthVersionMax="46" xr10:uidLastSave="{00000000-0000-0000-0000-000000000000}"/>
  <bookViews>
    <workbookView xWindow="28680" yWindow="-315" windowWidth="29040" windowHeight="15225" xr2:uid="{CEF5BC9E-8ABE-4742-9829-3067B67454AC}"/>
  </bookViews>
  <sheets>
    <sheet name="Payment Schedule" sheetId="1" r:id="rId1"/>
  </sheets>
  <definedNames>
    <definedName name="_xlnm.Print_Area" localSheetId="0">'Payment Schedule'!$A$1:$F$67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1" l="1"/>
  <c r="F33" i="1"/>
  <c r="F32" i="1"/>
  <c r="F31" i="1"/>
  <c r="F29" i="1"/>
  <c r="F28" i="1"/>
  <c r="F27" i="1"/>
  <c r="F26" i="1"/>
  <c r="F25" i="1"/>
  <c r="F24" i="1"/>
  <c r="F23" i="1"/>
  <c r="C41" i="1"/>
  <c r="D37" i="1"/>
  <c r="D36" i="1"/>
  <c r="F22" i="1"/>
</calcChain>
</file>

<file path=xl/sharedStrings.xml><?xml version="1.0" encoding="utf-8"?>
<sst xmlns="http://schemas.openxmlformats.org/spreadsheetml/2006/main" count="52" uniqueCount="50">
  <si>
    <t>[JOB NUMBER - STAGE - WORKS DECRIPTION]</t>
  </si>
  <si>
    <t>[CLIENT]</t>
  </si>
  <si>
    <t>[TYPE OF WORK (EW OR CIVIL)]</t>
  </si>
  <si>
    <t>PROGRESS PAYMENT SCHEDULE</t>
  </si>
  <si>
    <t>[CONTRACT TITLE]</t>
  </si>
  <si>
    <t>[MMMM YYYY]</t>
  </si>
  <si>
    <t xml:space="preserve">CONTRACTOR: </t>
  </si>
  <si>
    <t>[Contractor]</t>
  </si>
  <si>
    <t xml:space="preserve">ADDRESS: </t>
  </si>
  <si>
    <t>[Contractor Address]</t>
  </si>
  <si>
    <t xml:space="preserve">SITE LOCATION: </t>
  </si>
  <si>
    <t>[Contract Site]</t>
  </si>
  <si>
    <t xml:space="preserve">PAYMENT NUMBER: </t>
  </si>
  <si>
    <t>[Payment Number]</t>
  </si>
  <si>
    <t xml:space="preserve">PRINCIPAL: </t>
  </si>
  <si>
    <t>[Principal]</t>
  </si>
  <si>
    <t>ADDRESS:</t>
  </si>
  <si>
    <t>[Principal's Address]</t>
  </si>
  <si>
    <t xml:space="preserve">ENGINEER: </t>
  </si>
  <si>
    <t>McKenzie &amp; Co Consultants Limited</t>
  </si>
  <si>
    <t>Level 1, 2 Osterley Way, Manukau, 2104</t>
  </si>
  <si>
    <t>CONTRACTOR PROGRESS CLAIM No.</t>
  </si>
  <si>
    <t>[Progress Claim Number]</t>
  </si>
  <si>
    <t>PAYMENT CLAIM SUBMITED TO ENGINEER:</t>
  </si>
  <si>
    <t>SUBTOTAL</t>
  </si>
  <si>
    <t>LESS 10% RETENTIONS ON FIRST $200,000</t>
  </si>
  <si>
    <t>LESS 5% RETENTIONS FROM $200,001-$1,000,000</t>
  </si>
  <si>
    <t>LESS 1.75% RETENTIONS FROM $1,000,001+</t>
  </si>
  <si>
    <t>RELEASE OF RETENTIONS</t>
  </si>
  <si>
    <t>TOTAL RETENTIONS</t>
  </si>
  <si>
    <t>WORK VALUE LESS RETENTIONS</t>
  </si>
  <si>
    <t>LESS PREVIOUSLY PAID</t>
  </si>
  <si>
    <t xml:space="preserve">TOTAL </t>
  </si>
  <si>
    <t>GST (15%)</t>
  </si>
  <si>
    <t>TOTAL AMOUNT PAYABLE</t>
  </si>
  <si>
    <t>THIS IS TO CERTIFY THAT</t>
  </si>
  <si>
    <t>IS ENTITLED TO RECEIVE THE SUM OF</t>
  </si>
  <si>
    <t xml:space="preserve"> (Including GST.)</t>
  </si>
  <si>
    <t>Signed</t>
  </si>
  <si>
    <t>Andrew Hunter</t>
  </si>
  <si>
    <t>Date</t>
  </si>
  <si>
    <t>Due Date For Payment (NZS3910:2013)</t>
  </si>
  <si>
    <t>(ENGINEER TO THE CONTRACT OR ENGINEER's REPRESENTATIVE)</t>
  </si>
  <si>
    <t>The sum certified in the payment certifcate is provisional only, subject to any amendments by the principal or the expiry of 12 working days after the date of issue.</t>
  </si>
  <si>
    <t>SUMMARY</t>
  </si>
  <si>
    <t xml:space="preserve">FOR THE MONTH OF </t>
  </si>
  <si>
    <t>Contract Value</t>
  </si>
  <si>
    <t>Previous</t>
  </si>
  <si>
    <t>This Period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</si>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</sst>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_(&quot;$&quot;* #,##0.00_);_(&quot;$&quot;* \(#,##0.00\);_(&quot;$&quot;* &quot;-&quot;??_);_(@_)"/>
  </numFmts>
  <fonts count="14" x14ac:knownFonts="1">
    <font>
      <sz val="11"/>
      <color theme="1"/>
      <name val="Calibri"/>
      <family val="2"/>
      <scheme val="minor"/>
    </font>
    <font>
      <b/>
      <sz val="18"/>
      <color theme="1"/>
      <name val="Abadi Extra Light"/>
      <family val="2"/>
    </font>
    <font>
      <sz val="11"/>
      <color theme="1"/>
      <name val="Axiforma Light"/>
      <family val="3"/>
    </font>
    <font>
      <b/>
      <sz val="18"/>
      <color theme="1"/>
      <name val="Axiforma Light"/>
      <family val="3"/>
    </font>
    <font>
      <b/>
      <sz val="22"/>
      <color theme="1"/>
      <name val="Axiforma Light"/>
      <family val="3"/>
    </font>
    <font>
      <b/>
      <sz val="12"/>
      <color theme="1"/>
      <name val="Axiforma Light"/>
      <family val="3"/>
    </font>
    <font>
      <sz val="9"/>
      <color theme="1"/>
      <name val="Axiforma Light"/>
      <family val="3"/>
    </font>
    <font>
      <b/>
      <sz val="9"/>
      <color theme="1"/>
      <name val="Axiforma Light"/>
      <family val="3"/>
    </font>
    <font>
      <b/>
      <u/>
      <sz val="11"/>
      <color theme="0"/>
      <name val="Axiforma Light"/>
      <family val="3"/>
    </font>
    <font>
      <b/>
      <u/>
      <sz val="9"/>
      <color theme="1"/>
      <name val="Axiforma Light"/>
      <family val="3"/>
    </font>
    <font>
      <b/>
      <u val="singleAccounting"/>
      <sz val="9"/>
      <color theme="1"/>
      <name val="Axiforma Light"/>
      <family val="3"/>
    </font>
    <font>
      <b/>
      <u val="singleAccounting"/>
      <sz val="11"/>
      <color theme="1"/>
      <name val="Axiforma Light"/>
      <family val="3"/>
    </font>
    <font>
      <b/>
      <sz val="9"/>
      <color theme="0"/>
      <name val="Axiforma Light"/>
      <family val="3"/>
    </font>
    <font>
      <b/>
      <u/>
      <sz val="9"/>
      <color theme="0"/>
      <name val="Axiforma Light"/>
      <family val="3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/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 vertical="top"/>
    </xf>
    <xf numFmtId="17" fontId="8" fillId="2" borderId="0" xfId="0" applyNumberFormat="1" applyFont="1" applyFill="1"/>
    <xf numFmtId="164" fontId="2" fillId="0" borderId="0" xfId="0" applyNumberFormat="1" applyFont="1"/>
    <xf numFmtId="0" fontId="9" fillId="0" borderId="0" xfId="0" applyFont="1" applyAlignment="1">
      <alignment horizontal="center"/>
    </xf>
    <xf numFmtId="164" fontId="10" fillId="0" borderId="0" xfId="0" applyNumberFormat="1" applyFont="1"/>
    <xf numFmtId="0" fontId="6" fillId="0" borderId="0" xfId="0" applyFont="1" applyAlignment="1">
      <alignment horizontal="right" vertical="top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top" wrapText="1"/>
    </xf>
    <xf numFmtId="0" fontId="6" fillId="0" borderId="0" xfId="0" applyFont="1" applyAlignment="1">
      <alignment horizontal="left" vertical="top" wrapText="1"/>
    </xf>
    <xf numFmtId="42" fontId="7" fillId="0" borderId="0" xfId="0" applyNumberFormat="1" applyFont="1" applyAlignment="1">
      <alignment horizontal="left" vertical="top"/>
    </xf>
    <xf numFmtId="164" fontId="11" fillId="0" borderId="0" xfId="0" applyNumberFormat="1" applyFont="1"/>
    <xf numFmtId="2" fontId="12" fillId="2" borderId="0" xfId="0" applyNumberFormat="1" applyFont="1" applyFill="1" applyAlignment="1">
      <alignment horizontal="center" vertical="center" wrapText="1"/>
    </xf>
    <xf numFmtId="2" fontId="13" fillId="2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745435</xdr:colOff>
      <xdr:row>0</xdr:row>
      <xdr:rowOff>248479</xdr:rowOff>
    </xdr:from>
    <xdr:to>
      <xdr:col>4</xdr:col>
      <xdr:colOff>392872</xdr:colOff>
      <xdr:row>0</xdr:row>
      <xdr:rowOff>1050105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5BE74A8-D5BA-4841-AD69-06CC63C03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826" y="248479"/>
          <a:ext cx="5254763" cy="8016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2007-4061-43B1-98E8-043FB9703121}">
  <sheetPr>
    <pageSetUpPr fitToPage="1"/>
  </sheetPr>
  <dimension ref="A1:F61"/>
  <sheetViews>
    <sheetView tabSelected="1" view="pageBreakPreview" topLeftCell="A46" zoomScale="115" zoomScaleNormal="100" zoomScaleSheetLayoutView="115" workbookViewId="0">
      <selection activeCell="A53" sqref="A53"/>
    </sheetView>
  </sheetViews>
  <sheetFormatPr defaultRowHeight="21" x14ac:dyDescent="0.45"/>
  <cols>
    <col min="1" max="1" width="7.140625" style="2" customWidth="1"/>
    <col min="2" max="2" width="44.42578125" style="2" customWidth="1"/>
    <col min="3" max="3" width="20" style="2" customWidth="1"/>
    <col min="4" max="4" width="19.5703125" style="2" customWidth="1"/>
    <col min="5" max="5" width="15.28515625" style="2" customWidth="1"/>
    <col min="6" max="6" width="19.7109375" style="2" customWidth="1"/>
    <col min="7" max="16384" width="9.140625" style="2"/>
  </cols>
  <sheetData>
    <row r="1" spans="1:6" ht="99.75" customHeight="1" x14ac:dyDescent="0.45"/>
    <row r="2" spans="1:6" ht="15" customHeight="1" x14ac:dyDescent="0.45"/>
    <row r="3" spans="1:6" ht="44.25" customHeight="1" x14ac:dyDescent="0.45">
      <c r="A3" s="4" t="s">
        <v>0</v>
      </c>
      <c r="B3" s="4"/>
      <c r="C3" s="4"/>
      <c r="D3" s="4"/>
      <c r="E3" s="4"/>
      <c r="F3" s="4"/>
    </row>
    <row r="4" spans="1:6" ht="26.25" customHeight="1" x14ac:dyDescent="0.45">
      <c r="A4" s="1" t="s">
        <v>1</v>
      </c>
      <c r="B4" s="1"/>
      <c r="C4" s="1"/>
      <c r="D4" s="1"/>
      <c r="E4" s="1"/>
    </row>
    <row r="5" spans="1:6" ht="13.5" customHeight="1" x14ac:dyDescent="0.45"/>
    <row r="6" spans="1:6" ht="26.25" customHeight="1" x14ac:dyDescent="0.45">
      <c r="A6" s="3" t="s">
        <v>2</v>
      </c>
      <c r="B6" s="3"/>
      <c r="C6" s="3"/>
      <c r="D6" s="3"/>
      <c r="E6" s="3"/>
      <c r="F6" s="3"/>
    </row>
    <row r="7" spans="1:6" ht="26.25" customHeight="1" x14ac:dyDescent="0.45">
      <c r="A7" s="3" t="s">
        <v>3</v>
      </c>
      <c r="B7" s="3"/>
      <c r="C7" s="3"/>
      <c r="D7" s="3"/>
      <c r="E7" s="3"/>
      <c r="F7" s="3"/>
    </row>
    <row r="8" spans="1:6" ht="18" customHeight="1" x14ac:dyDescent="0.5">
      <c r="A8" s="5" t="s">
        <v>4</v>
      </c>
      <c r="B8" s="5"/>
      <c r="C8" s="5"/>
      <c r="D8" s="5"/>
      <c r="E8" s="5"/>
      <c r="F8" s="5"/>
    </row>
    <row r="9" spans="1:6" ht="18" customHeight="1" x14ac:dyDescent="0.45"/>
    <row r="10" spans="1:6" ht="26.25" customHeight="1" x14ac:dyDescent="0.45">
      <c r="A10" s="3" t="s">
        <v>5</v>
      </c>
      <c r="B10" s="3"/>
      <c r="C10" s="3"/>
      <c r="D10" s="3"/>
      <c r="E10" s="3"/>
      <c r="F10" s="3"/>
    </row>
    <row r="11" spans="1:6" ht="26.25" customHeight="1" x14ac:dyDescent="0.45"/>
    <row r="12" spans="1:6" ht="18" customHeight="1" x14ac:dyDescent="0.45">
      <c r="B12" s="7" t="s">
        <v>6</v>
      </c>
      <c r="C12" s="7" t="s">
        <v>7</v>
      </c>
    </row>
    <row r="13" spans="1:6" ht="18" customHeight="1" x14ac:dyDescent="0.45">
      <c r="B13" s="7" t="s">
        <v>8</v>
      </c>
      <c r="C13" s="7" t="s">
        <v>9</v>
      </c>
    </row>
    <row r="14" spans="1:6" ht="18" customHeight="1" x14ac:dyDescent="0.45">
      <c r="B14" s="7" t="s">
        <v>10</v>
      </c>
      <c r="C14" s="7" t="s">
        <v>11</v>
      </c>
    </row>
    <row r="15" spans="1:6" ht="18" customHeight="1" x14ac:dyDescent="0.45">
      <c r="B15" s="7" t="s">
        <v>12</v>
      </c>
      <c r="C15" s="7" t="s">
        <v>13</v>
      </c>
    </row>
    <row r="16" spans="1:6" ht="18" customHeight="1" x14ac:dyDescent="0.45">
      <c r="B16" s="7" t="s">
        <v>14</v>
      </c>
      <c r="C16" s="7" t="s">
        <v>15</v>
      </c>
    </row>
    <row r="17" spans="2:6" ht="18" customHeight="1" x14ac:dyDescent="0.45">
      <c r="B17" s="7" t="s">
        <v>16</v>
      </c>
      <c r="C17" s="7" t="s">
        <v>17</v>
      </c>
    </row>
    <row r="18" spans="2:6" ht="18" customHeight="1" x14ac:dyDescent="0.45">
      <c r="B18" s="7" t="s">
        <v>18</v>
      </c>
      <c r="C18" s="7" t="s">
        <v>19</v>
      </c>
    </row>
    <row r="19" spans="2:6" ht="18" customHeight="1" x14ac:dyDescent="0.45">
      <c r="B19" s="7" t="s">
        <v>8</v>
      </c>
      <c r="C19" s="7" t="s">
        <v>20</v>
      </c>
    </row>
    <row r="20" spans="2:6" ht="18" customHeight="1" x14ac:dyDescent="0.45">
      <c r="B20" s="7" t="s">
        <v>21</v>
      </c>
      <c r="C20" s="7" t="s">
        <v>22</v>
      </c>
    </row>
    <row r="21" spans="2:6" ht="18" customHeight="1" x14ac:dyDescent="0.45">
      <c r="B21" s="7" t="s">
        <v>23</v>
      </c>
      <c r="C21" s="7"/>
    </row>
    <row r="22" spans="2:6" ht="18" customHeight="1" x14ac:dyDescent="0.45">
      <c r="F22" s="10" t="str">
        <f>A10</f>
        <v>[MMMM YYYY]</v>
      </c>
    </row>
    <row r="23" spans="2:6" ht="18" customHeight="1" x14ac:dyDescent="0.45">
      <c r="B23" s="9" t="s">
        <v>24</v>
      </c>
      <c r="C23" s="9"/>
      <c r="D23" s="9"/>
      <c r="F23" s="11">
        <f>F62</f>
        <v>0</v>
      </c>
    </row>
    <row r="24" spans="2:6" ht="18" customHeight="1" x14ac:dyDescent="0.45">
      <c r="B24" s="9" t="s">
        <v>25</v>
      </c>
      <c r="C24" s="9"/>
      <c r="D24" s="9"/>
      <c r="F24" s="11">
        <f>IF(F23&lt;200000,F23*0.1,200000*0.1)</f>
        <v>0</v>
      </c>
    </row>
    <row r="25" spans="2:6" ht="18" customHeight="1" x14ac:dyDescent="0.45">
      <c r="B25" s="9" t="s">
        <v>26</v>
      </c>
      <c r="C25" s="9"/>
      <c r="D25" s="9"/>
      <c r="F25" s="11">
        <f>IF(AND(F23&gt;200000,F23&lt;1000000),(F23-200000)*0.05,IF(F23&gt;1000000, 800000*0.05,0))</f>
        <v>0</v>
      </c>
    </row>
    <row r="26" spans="2:6" ht="18" customHeight="1" x14ac:dyDescent="0.45">
      <c r="B26" s="9" t="s">
        <v>27</v>
      </c>
      <c r="C26" s="9"/>
      <c r="D26" s="9"/>
      <c r="F26" s="11">
        <f>IF(F23&gt;1000000,(F23-1000000)*0.0175,0)</f>
        <v>0</v>
      </c>
    </row>
    <row r="27" spans="2:6" ht="18" customHeight="1" x14ac:dyDescent="0.45">
      <c r="B27" s="9" t="s">
        <v>28</v>
      </c>
      <c r="C27" s="18">
        <v>0</v>
      </c>
      <c r="D27" s="9"/>
      <c r="F27" s="11">
        <f>SUM(F24:F26)*$C$27</f>
        <v>0</v>
      </c>
    </row>
    <row r="28" spans="2:6" ht="18" customHeight="1" x14ac:dyDescent="0.45">
      <c r="B28" s="9" t="s">
        <v>29</v>
      </c>
      <c r="C28" s="9"/>
      <c r="D28" s="9"/>
      <c r="F28" s="11">
        <f>SUM(F24:F26)-F27</f>
        <v>0</v>
      </c>
    </row>
    <row r="29" spans="2:6" ht="18" customHeight="1" x14ac:dyDescent="0.45">
      <c r="B29" s="9" t="s">
        <v>30</v>
      </c>
      <c r="C29" s="9"/>
      <c r="D29" s="9"/>
      <c r="F29" s="11">
        <f>F23-F28</f>
        <v>0</v>
      </c>
    </row>
    <row r="30" spans="2:6" ht="18" customHeight="1" x14ac:dyDescent="0.45">
      <c r="B30" s="9" t="s">
        <v>31</v>
      </c>
      <c r="C30" s="9"/>
      <c r="D30" s="9"/>
      <c r="F30" s="11">
        <v>0</v>
      </c>
    </row>
    <row r="31" spans="2:6" ht="18" customHeight="1" x14ac:dyDescent="0.45">
      <c r="B31" s="9" t="s">
        <v>32</v>
      </c>
      <c r="C31" s="9"/>
      <c r="D31" s="9"/>
      <c r="F31" s="11">
        <f>F23-F24-F25-F26-F30</f>
        <v>0</v>
      </c>
    </row>
    <row r="32" spans="2:6" ht="18" customHeight="1" x14ac:dyDescent="0.45">
      <c r="B32" s="9" t="s">
        <v>33</v>
      </c>
      <c r="C32" s="9"/>
      <c r="D32" s="9"/>
      <c r="F32" s="11">
        <f>F31*0.15</f>
        <v>0</v>
      </c>
    </row>
    <row r="33" spans="1:6" ht="18" customHeight="1" x14ac:dyDescent="0.6">
      <c r="B33" s="9" t="s">
        <v>34</v>
      </c>
      <c r="C33" s="9"/>
      <c r="D33" s="9"/>
      <c r="F33" s="19">
        <f>F32+F31</f>
        <v>0</v>
      </c>
    </row>
    <row r="34" spans="1:6" ht="18" customHeight="1" x14ac:dyDescent="0.45">
      <c r="A34" s="6"/>
      <c r="B34" s="6"/>
      <c r="C34" s="6"/>
      <c r="D34" s="6"/>
      <c r="E34" s="6"/>
      <c r="F34" s="6"/>
    </row>
    <row r="35" spans="1:6" ht="18" customHeight="1" x14ac:dyDescent="0.45">
      <c r="A35" s="6"/>
      <c r="B35" s="6" t="s">
        <v>35</v>
      </c>
      <c r="C35" s="6"/>
      <c r="D35" s="12" t="s">
        <v>7</v>
      </c>
      <c r="E35" s="6"/>
      <c r="F35" s="6"/>
    </row>
    <row r="36" spans="1:6" ht="18" customHeight="1" x14ac:dyDescent="0.55000000000000004">
      <c r="A36" s="6"/>
      <c r="B36" s="6" t="s">
        <v>36</v>
      </c>
      <c r="C36" s="6"/>
      <c r="D36" s="13">
        <f>F33</f>
        <v>0</v>
      </c>
      <c r="E36" s="6" t="s">
        <v>37</v>
      </c>
      <c r="F36" s="6"/>
    </row>
    <row r="37" spans="1:6" ht="18" customHeight="1" x14ac:dyDescent="0.45">
      <c r="A37" s="6"/>
      <c r="B37" s="6"/>
      <c r="C37" s="6"/>
      <c r="D37" s="6" t="e">
        <f ca="1">"(" &amp; spellnumber(D36) &amp; ", including GST)"</f>
        <v>#NAME?</v>
      </c>
      <c r="E37" s="6"/>
      <c r="F37" s="6"/>
    </row>
    <row r="38" spans="1:6" ht="18" customHeight="1" x14ac:dyDescent="0.45">
      <c r="A38" s="6"/>
      <c r="B38" s="6"/>
      <c r="C38" s="6"/>
      <c r="D38" s="6"/>
      <c r="E38" s="6"/>
      <c r="F38" s="6"/>
    </row>
    <row r="39" spans="1:6" ht="18" customHeight="1" x14ac:dyDescent="0.45">
      <c r="A39" s="6"/>
      <c r="B39" s="14" t="s">
        <v>38</v>
      </c>
      <c r="C39" s="6"/>
      <c r="D39" s="6"/>
      <c r="E39" s="6"/>
      <c r="F39" s="6"/>
    </row>
    <row r="40" spans="1:6" ht="15.75" customHeight="1" x14ac:dyDescent="0.45">
      <c r="A40" s="6"/>
      <c r="B40" s="14" t="s">
        <v>39</v>
      </c>
      <c r="C40" s="6"/>
      <c r="D40" s="16"/>
      <c r="E40" s="15"/>
      <c r="F40" s="6"/>
    </row>
    <row r="41" spans="1:6" ht="18" customHeight="1" x14ac:dyDescent="0.45">
      <c r="A41" s="6"/>
      <c r="B41" s="14" t="s">
        <v>40</v>
      </c>
      <c r="C41" s="6" t="str">
        <f>A10</f>
        <v>[MMMM YYYY]</v>
      </c>
      <c r="D41" s="6" t="s">
        <v>42</v>
      </c>
      <c r="E41" s="6"/>
      <c r="F41" s="6"/>
    </row>
    <row r="42" spans="1:6" ht="18" customHeight="1" x14ac:dyDescent="0.45">
      <c r="A42" s="6"/>
      <c r="B42" s="14" t="s">
        <v>41</v>
      </c>
      <c r="C42" s="6"/>
      <c r="D42" s="6"/>
      <c r="E42" s="6"/>
      <c r="F42" s="6"/>
    </row>
    <row r="43" spans="1:6" ht="34.5" customHeight="1" x14ac:dyDescent="0.45">
      <c r="A43" s="6"/>
      <c r="B43" s="17" t="s">
        <v>43</v>
      </c>
      <c r="C43" s="17"/>
      <c r="D43" s="17"/>
      <c r="E43" s="17"/>
      <c r="F43" s="17"/>
    </row>
    <row r="44" spans="1:6" ht="18" customHeight="1" x14ac:dyDescent="0.45"/>
    <row r="45" spans="1:6" ht="18" customHeight="1" x14ac:dyDescent="0.45"/>
    <row r="46" spans="1:6" ht="18" customHeight="1" x14ac:dyDescent="0.45"/>
    <row r="47" spans="1:6" ht="18" customHeight="1" x14ac:dyDescent="0.45"/>
    <row r="48" spans="1:6" ht="18" customHeight="1" x14ac:dyDescent="0.45"/>
    <row r="49" spans="1:6" ht="18" customHeight="1" x14ac:dyDescent="0.45">
      <c r="A49" s="6"/>
      <c r="B49" s="8" t="s">
        <v>44</v>
      </c>
      <c r="C49" s="6"/>
      <c r="D49" s="6"/>
      <c r="E49" s="6"/>
      <c r="F49" s="6"/>
    </row>
    <row r="50" spans="1:6" ht="18" customHeight="1" x14ac:dyDescent="0.45">
      <c r="A50" s="6"/>
      <c r="B50" s="6" t="s">
        <v>45</v>
      </c>
      <c r="C50" s="6"/>
      <c r="D50" s="6"/>
      <c r="E50" s="6"/>
      <c r="F50" s="6"/>
    </row>
    <row r="51" spans="1:6" ht="29.25" customHeight="1" x14ac:dyDescent="0.45">
      <c r="A51" s="6"/>
      <c r="B51" s="8" t="str">
        <f>A10</f>
        <v>[MMMM YYYY]</v>
      </c>
      <c r="C51" s="20" t="s">
        <v>46</v>
      </c>
      <c r="D51" s="21" t="s">
        <v>47</v>
      </c>
      <c r="E51" s="21" t="s">
        <v>48</v>
      </c>
      <c r="F51" s="21" t="s">
        <v>49</v>
      </c>
    </row>
    <row r="52" spans="1:6" x14ac:dyDescent="0.45">
      <c r="A52" s="6"/>
      <c r="B52" s="6"/>
      <c r="C52" s="6"/>
      <c r="D52" s="6"/>
      <c r="E52" s="6"/>
      <c r="F52" s="6"/>
    </row>
    <row r="53" spans="1:6" x14ac:dyDescent="0.45">
      <c r="A53" s="6"/>
      <c r="B53" s="6"/>
      <c r="C53" s="6"/>
      <c r="D53" s="6"/>
      <c r="E53" s="6"/>
      <c r="F53" s="6"/>
    </row>
    <row r="54" spans="1:6" x14ac:dyDescent="0.45">
      <c r="A54" s="6"/>
      <c r="B54" s="6"/>
      <c r="C54" s="6"/>
      <c r="D54" s="6"/>
      <c r="E54" s="6"/>
      <c r="F54" s="6"/>
    </row>
    <row r="55" spans="1:6" x14ac:dyDescent="0.45">
      <c r="A55" s="6"/>
      <c r="B55" s="6"/>
      <c r="C55" s="6"/>
      <c r="D55" s="6"/>
      <c r="E55" s="6"/>
      <c r="F55" s="6"/>
    </row>
    <row r="56" spans="1:6" x14ac:dyDescent="0.45">
      <c r="A56" s="6"/>
      <c r="B56" s="6"/>
      <c r="C56" s="6"/>
      <c r="D56" s="6"/>
      <c r="E56" s="6"/>
      <c r="F56" s="6"/>
    </row>
    <row r="57" spans="1:6" x14ac:dyDescent="0.45">
      <c r="A57" s="6"/>
      <c r="B57" s="6"/>
      <c r="C57" s="6"/>
      <c r="D57" s="6"/>
      <c r="E57" s="6"/>
      <c r="F57" s="6"/>
    </row>
    <row r="58" spans="1:6" x14ac:dyDescent="0.45">
      <c r="A58" s="6"/>
      <c r="B58" s="6"/>
      <c r="C58" s="6"/>
      <c r="D58" s="6"/>
      <c r="E58" s="6"/>
      <c r="F58" s="6"/>
    </row>
    <row r="59" spans="1:6" x14ac:dyDescent="0.45">
      <c r="A59" s="6"/>
      <c r="B59" s="6"/>
      <c r="C59" s="6"/>
      <c r="D59" s="6"/>
      <c r="E59" s="6"/>
      <c r="F59" s="6"/>
    </row>
    <row r="60" spans="1:6" x14ac:dyDescent="0.45">
      <c r="A60" s="6"/>
      <c r="B60" s="6"/>
      <c r="C60" s="6"/>
      <c r="D60" s="6"/>
      <c r="E60" s="6"/>
      <c r="F60" s="6"/>
    </row>
    <row r="61" spans="1:6" x14ac:dyDescent="0.45">
      <c r="A61" s="6"/>
      <c r="B61" s="6"/>
      <c r="C61" s="6"/>
      <c r="D61" s="6"/>
      <c r="E61" s="6"/>
      <c r="F61" s="6"/>
    </row>
  </sheetData>
  <mergeCells count="7">
    <mergeCell ref="B43:F43"/>
    <mergeCell ref="A3:F3"/>
    <mergeCell ref="A4:E4"/>
    <mergeCell ref="A6:F6"/>
    <mergeCell ref="A7:F7"/>
    <mergeCell ref="A8:F8"/>
    <mergeCell ref="A10:F10"/>
  </mergeCells>
  <pageMargins left="0.7" right="0.7" top="0.75" bottom="0.75" header="0.3" footer="0.3"/>
  <pageSetup paperSize="9" scale="69" fitToHeight="0" orientation="portrait" r:id="rId1"/>
  <rowBreaks count="1" manualBreakCount="1">
    <brk id="4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Payment Schedule</vt:lpstr>
      <vt:lpstr>'Payment Schedule'!Print_Area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Ferguson</dc:creator>
  <cp:lastModifiedBy>Scott Ferguson</cp:lastModifiedBy>
  <dcterms:created xsi:type="dcterms:W3CDTF">2021-02-25T19:55:03Z</dcterms:created>
  <dcterms:modified xsi:type="dcterms:W3CDTF">2021-02-25T21:05:01Z</dcterms:modified>
</cp:coreProperties>
</file>